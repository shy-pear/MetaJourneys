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ssumptions" sheetId="1" state="visible" r:id="rId1"/>
    <sheet name="Phase Cost-Benefit" sheetId="2" state="visible" r:id="rId2"/>
    <sheet name="NPV Model" sheetId="3" state="visible" r:id="rId3"/>
    <sheet name="Sensitivity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"/>
    <numFmt numFmtId="166" formatCode="#,##0;\(#,##0\);\-"/>
    <numFmt numFmtId="167" formatCode="\$#,##0.0;&quot;($&quot;#,##0.0\);\-"/>
    <numFmt numFmtId="168" formatCode="\$#,##0;&quot;($&quot;#,##0\);\-"/>
    <numFmt numFmtId="169" formatCode="0.0\x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555555"/>
      <sz val="9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sz val="10"/>
    </font>
    <font>
      <name val="Arial"/>
      <charset val="1"/>
      <family val="0"/>
      <sz val="9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008000"/>
      <sz val="11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  <fill>
      <patternFill patternType="solid">
        <fgColor rgb="FF808080"/>
        <bgColor rgb="FF96969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165" fontId="9" fillId="4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center" vertical="bottom"/>
    </xf>
    <xf numFmtId="166" fontId="9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168" fontId="9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168" fontId="9" fillId="4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0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8" fontId="10" fillId="5" borderId="2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center" vertical="bottom"/>
    </xf>
    <xf numFmtId="0" fontId="10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7" fontId="12" fillId="0" borderId="0" applyAlignment="1" pivotButton="0" quotePrefix="0" xfId="0">
      <alignment horizontal="general" vertical="bottom"/>
    </xf>
    <xf numFmtId="168" fontId="8" fillId="0" borderId="0" applyAlignment="1" pivotButton="0" quotePrefix="0" xfId="0">
      <alignment horizontal="general" vertical="bottom"/>
    </xf>
    <xf numFmtId="168" fontId="12" fillId="0" borderId="0" applyAlignment="1" pivotButton="0" quotePrefix="0" xfId="0">
      <alignment horizontal="general" vertical="bottom"/>
    </xf>
    <xf numFmtId="168" fontId="10" fillId="0" borderId="2" applyAlignment="1" pivotButton="0" quotePrefix="0" xfId="0">
      <alignment horizontal="general" vertical="bottom"/>
    </xf>
    <xf numFmtId="168" fontId="9" fillId="0" borderId="0" applyAlignment="1" pivotButton="0" quotePrefix="0" xfId="0">
      <alignment horizontal="general" vertical="bottom"/>
    </xf>
    <xf numFmtId="168" fontId="10" fillId="5" borderId="0" applyAlignment="1" pivotButton="0" quotePrefix="0" xfId="0">
      <alignment horizontal="general" vertical="bottom"/>
    </xf>
    <xf numFmtId="2" fontId="8" fillId="0" borderId="0" applyAlignment="1" pivotButton="0" quotePrefix="0" xfId="0">
      <alignment horizontal="general" vertical="bottom"/>
    </xf>
    <xf numFmtId="168" fontId="10" fillId="0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168" fontId="13" fillId="4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9" fontId="8" fillId="0" borderId="0" applyAlignment="1" pivotButton="0" quotePrefix="0" xfId="0">
      <alignment horizontal="general" vertical="bottom"/>
    </xf>
    <xf numFmtId="168" fontId="13" fillId="0" borderId="0" applyAlignment="1" pivotButton="0" quotePrefix="0" xfId="0">
      <alignment horizontal="general" vertical="bottom"/>
    </xf>
    <xf numFmtId="0" fontId="10" fillId="5" borderId="1" applyAlignment="1" pivotButton="0" quotePrefix="0" xfId="0">
      <alignment horizontal="center" vertical="bottom" wrapText="1"/>
    </xf>
    <xf numFmtId="166" fontId="9" fillId="0" borderId="1" applyAlignment="1" pivotButton="0" quotePrefix="0" xfId="0">
      <alignment horizontal="general" vertical="top" wrapText="1"/>
    </xf>
    <xf numFmtId="168" fontId="9" fillId="0" borderId="1" applyAlignment="1" pivotButton="0" quotePrefix="0" xfId="0">
      <alignment horizontal="general" vertical="top" wrapText="1"/>
    </xf>
    <xf numFmtId="168" fontId="10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0" fillId="5" borderId="1" applyAlignment="1" pivotButton="0" quotePrefix="0" xfId="0">
      <alignment horizontal="center" vertical="bottom"/>
    </xf>
    <xf numFmtId="168" fontId="8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165" fontId="9" fillId="4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center" vertical="bottom"/>
    </xf>
    <xf numFmtId="166" fontId="9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168" fontId="9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168" fontId="9" fillId="4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0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8" fontId="10" fillId="5" borderId="2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center" vertical="bottom"/>
    </xf>
    <xf numFmtId="0" fontId="10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7" fontId="12" fillId="0" borderId="0" applyAlignment="1" pivotButton="0" quotePrefix="0" xfId="0">
      <alignment horizontal="general" vertical="bottom"/>
    </xf>
    <xf numFmtId="168" fontId="8" fillId="0" borderId="0" applyAlignment="1" pivotButton="0" quotePrefix="0" xfId="0">
      <alignment horizontal="general" vertical="bottom"/>
    </xf>
    <xf numFmtId="168" fontId="12" fillId="0" borderId="0" applyAlignment="1" pivotButton="0" quotePrefix="0" xfId="0">
      <alignment horizontal="general" vertical="bottom"/>
    </xf>
    <xf numFmtId="168" fontId="10" fillId="0" borderId="2" applyAlignment="1" pivotButton="0" quotePrefix="0" xfId="0">
      <alignment horizontal="general" vertical="bottom"/>
    </xf>
    <xf numFmtId="168" fontId="9" fillId="0" borderId="0" applyAlignment="1" pivotButton="0" quotePrefix="0" xfId="0">
      <alignment horizontal="general" vertical="bottom"/>
    </xf>
    <xf numFmtId="168" fontId="10" fillId="5" borderId="0" applyAlignment="1" pivotButton="0" quotePrefix="0" xfId="0">
      <alignment horizontal="general" vertical="bottom"/>
    </xf>
    <xf numFmtId="2" fontId="8" fillId="0" borderId="0" applyAlignment="1" pivotButton="0" quotePrefix="0" xfId="0">
      <alignment horizontal="general" vertical="bottom"/>
    </xf>
    <xf numFmtId="168" fontId="10" fillId="0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168" fontId="13" fillId="4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9" fontId="8" fillId="0" borderId="0" applyAlignment="1" pivotButton="0" quotePrefix="0" xfId="0">
      <alignment horizontal="general" vertical="bottom"/>
    </xf>
    <xf numFmtId="168" fontId="13" fillId="0" borderId="0" applyAlignment="1" pivotButton="0" quotePrefix="0" xfId="0">
      <alignment horizontal="general" vertical="bottom"/>
    </xf>
    <xf numFmtId="0" fontId="10" fillId="5" borderId="1" applyAlignment="1" pivotButton="0" quotePrefix="0" xfId="0">
      <alignment horizontal="center" vertical="bottom" wrapText="1"/>
    </xf>
    <xf numFmtId="166" fontId="9" fillId="0" borderId="1" applyAlignment="1" pivotButton="0" quotePrefix="0" xfId="0">
      <alignment horizontal="general" vertical="top" wrapText="1"/>
    </xf>
    <xf numFmtId="168" fontId="9" fillId="0" borderId="1" applyAlignment="1" pivotButton="0" quotePrefix="0" xfId="0">
      <alignment horizontal="general" vertical="top" wrapText="1"/>
    </xf>
    <xf numFmtId="168" fontId="10" fillId="0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center" vertical="bottom"/>
    </xf>
    <xf numFmtId="168" fontId="8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I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54" min="1" max="1"/>
    <col width="42" customWidth="1" style="54" min="2" max="2"/>
    <col width="16" customWidth="1" style="54" min="3" max="8"/>
    <col width="14" customWidth="1" style="54" min="9" max="9"/>
  </cols>
  <sheetData>
    <row r="2" ht="25.5" customHeight="1" s="55">
      <c r="B2" s="56" t="inlineStr">
        <is>
          <t>Meta Journeys — NPV &amp; Cost/Benefit Model</t>
        </is>
      </c>
    </row>
    <row r="3" ht="27.75" customHeight="1" s="55">
      <c r="B3" s="57" t="inlineStr">
        <is>
          <t>ILLUSTRATIVE / MODELED — every figure below is an assumption, not measured data. Meta's internal costs are not public and Journeys is hypothetical. Adjust the blue inputs to test scenarios.</t>
        </is>
      </c>
    </row>
    <row r="5" ht="15" customHeight="1" s="55">
      <c r="B5" s="58" t="inlineStr">
        <is>
          <t>Legend:  Blue = input you can change   ·   Black = formula   ·   Green = links from another sheet   ·   Yellow = key assumption</t>
        </is>
      </c>
    </row>
    <row r="7" ht="15" customHeight="1" s="55">
      <c r="B7" s="59" t="inlineStr">
        <is>
          <t>GLOBAL ASSUMPTIONS</t>
        </is>
      </c>
      <c r="C7" s="60" t="n"/>
      <c r="D7" s="60" t="n"/>
      <c r="E7" s="60" t="n"/>
      <c r="F7" s="60" t="n"/>
      <c r="G7" s="60" t="n"/>
      <c r="H7" s="60" t="n"/>
      <c r="I7" s="60" t="n"/>
    </row>
    <row r="8" ht="15" customHeight="1" s="55">
      <c r="B8" s="61" t="inlineStr">
        <is>
          <t>Discount rate (WACC)</t>
        </is>
      </c>
      <c r="C8" s="62" t="n">
        <v>0.1</v>
      </c>
    </row>
    <row r="9" ht="15" customHeight="1" s="55">
      <c r="B9" s="61" t="inlineStr">
        <is>
          <t>Instagram MAU (billions) — base for adoption</t>
        </is>
      </c>
      <c r="C9" s="63" t="n">
        <v>2.4</v>
      </c>
    </row>
    <row r="10" ht="15" customHeight="1" s="55">
      <c r="B10" s="61" t="inlineStr">
        <is>
          <t>Long-run Journeys adoption ceiling (% of IG MAU)</t>
        </is>
      </c>
      <c r="C10" s="62" t="n">
        <v>0.095</v>
      </c>
    </row>
    <row r="11" ht="15" customHeight="1" s="55">
      <c r="B11" s="61" t="inlineStr">
        <is>
          <t>Net revenue margin to Meta (after creator/partner share)</t>
        </is>
      </c>
      <c r="C11" s="64" t="n">
        <v>1</v>
      </c>
    </row>
    <row r="13" ht="15" customHeight="1" s="55">
      <c r="B13" s="59" t="inlineStr">
        <is>
          <t>ADOPTION &amp; MONETIZATION RAMP (modeled)</t>
        </is>
      </c>
      <c r="C13" s="60" t="n"/>
      <c r="D13" s="60" t="n"/>
      <c r="E13" s="60" t="n"/>
      <c r="F13" s="60" t="n"/>
      <c r="G13" s="60" t="n"/>
      <c r="H13" s="60" t="n"/>
      <c r="I13" s="60" t="n"/>
    </row>
    <row r="14" ht="15" customHeight="1" s="55">
      <c r="B14" s="65" t="inlineStr">
        <is>
          <t>Timeline (months)</t>
        </is>
      </c>
      <c r="C14" s="66" t="inlineStr">
        <is>
          <t>0–12</t>
        </is>
      </c>
      <c r="D14" s="66" t="inlineStr">
        <is>
          <t>12–24</t>
        </is>
      </c>
      <c r="E14" s="66" t="inlineStr">
        <is>
          <t>24–36</t>
        </is>
      </c>
      <c r="F14" s="66" t="inlineStr">
        <is>
          <t>36–48</t>
        </is>
      </c>
      <c r="G14" s="66" t="inlineStr">
        <is>
          <t>48–60</t>
        </is>
      </c>
      <c r="H14" s="66" t="inlineStr">
        <is>
          <t>60–72</t>
        </is>
      </c>
      <c r="I14" s="66" t="inlineStr">
        <is>
          <t>72–84</t>
        </is>
      </c>
    </row>
    <row r="15" ht="15" customHeight="1" s="55">
      <c r="B15" s="65" t="inlineStr">
        <is>
          <t>Year</t>
        </is>
      </c>
      <c r="C15" s="66" t="inlineStr">
        <is>
          <t>Year 0</t>
        </is>
      </c>
      <c r="D15" s="66" t="inlineStr">
        <is>
          <t>Year 1</t>
        </is>
      </c>
      <c r="E15" s="66" t="inlineStr">
        <is>
          <t>Year 2</t>
        </is>
      </c>
      <c r="F15" s="66" t="inlineStr">
        <is>
          <t>Year 3</t>
        </is>
      </c>
      <c r="G15" s="66" t="inlineStr">
        <is>
          <t>Year 4</t>
        </is>
      </c>
      <c r="H15" s="66" t="inlineStr">
        <is>
          <t>Year 5</t>
        </is>
      </c>
      <c r="I15" s="66" t="inlineStr">
        <is>
          <t>Year 6</t>
        </is>
      </c>
    </row>
    <row r="16" ht="15" customHeight="1" s="55">
      <c r="B16" s="61" t="inlineStr">
        <is>
          <t>Active Journey users (millions)</t>
        </is>
      </c>
      <c r="C16" s="67" t="n">
        <v>5</v>
      </c>
      <c r="D16" s="67" t="n">
        <v>25</v>
      </c>
      <c r="E16" s="67" t="n">
        <v>60</v>
      </c>
      <c r="F16" s="67" t="n">
        <v>100</v>
      </c>
      <c r="G16" s="67" t="n">
        <v>140</v>
      </c>
      <c r="H16" s="67" t="n">
        <v>170</v>
      </c>
      <c r="I16" s="67" t="n">
        <v>190</v>
      </c>
    </row>
    <row r="17" ht="15" customHeight="1" s="55">
      <c r="B17" s="68" t="inlineStr">
        <is>
          <t xml:space="preserve">  as % of IG MAU</t>
        </is>
      </c>
      <c r="C17" s="69">
        <f>C16/1000/$C$9</f>
        <v/>
      </c>
      <c r="D17" s="69">
        <f>D16/1000/$C$9</f>
        <v/>
      </c>
      <c r="E17" s="69">
        <f>E16/1000/$C$9</f>
        <v/>
      </c>
      <c r="F17" s="69">
        <f>F16/1000/$C$9</f>
        <v/>
      </c>
      <c r="G17" s="69">
        <f>G16/1000/$C$9</f>
        <v/>
      </c>
      <c r="H17" s="69">
        <f>H16/1000/$C$9</f>
        <v/>
      </c>
      <c r="I17" s="69">
        <f>I16/1000/$C$9</f>
        <v/>
      </c>
    </row>
    <row r="18" ht="15" customHeight="1" s="55">
      <c r="B18" s="61" t="inlineStr">
        <is>
          <t>Incremental net ARPU per Journey user ($/yr)</t>
        </is>
      </c>
      <c r="C18" s="70" t="n">
        <v>1</v>
      </c>
      <c r="D18" s="70" t="n">
        <v>4</v>
      </c>
      <c r="E18" s="70" t="n">
        <v>9</v>
      </c>
      <c r="F18" s="70" t="n">
        <v>14</v>
      </c>
      <c r="G18" s="70" t="n">
        <v>18</v>
      </c>
      <c r="H18" s="70" t="n">
        <v>21</v>
      </c>
      <c r="I18" s="70" t="n">
        <v>23</v>
      </c>
    </row>
    <row r="19" ht="25.5" customHeight="1" s="55">
      <c r="B19" s="71" t="inlineStr">
        <is>
          <t>ARPU ramp reflects monetization maturing: Yr0–1 mostly better ad targeting; Yr2+ sponsored labeled recommendations; Yr4+ commerce, affiliate &amp; premium coaching layered in.</t>
        </is>
      </c>
    </row>
    <row r="20" ht="15" customHeight="1" s="55">
      <c r="B20" s="61" t="inlineStr">
        <is>
          <t>Glasses ecosystem revenue ($mm) — upside layer</t>
        </is>
      </c>
      <c r="C20" s="72" t="n">
        <v>0</v>
      </c>
      <c r="D20" s="72" t="n">
        <v>0</v>
      </c>
      <c r="E20" s="72" t="n">
        <v>0</v>
      </c>
      <c r="F20" s="72" t="n">
        <v>50</v>
      </c>
      <c r="G20" s="72" t="n">
        <v>150</v>
      </c>
      <c r="H20" s="72" t="n">
        <v>300</v>
      </c>
      <c r="I20" s="72" t="n">
        <v>500</v>
      </c>
    </row>
    <row r="22" ht="15" customHeight="1" s="55">
      <c r="B22" s="65" t="inlineStr">
        <is>
          <t>HOW THE MODEL WORKS</t>
        </is>
      </c>
    </row>
    <row r="23" ht="15" customHeight="1" s="55">
      <c r="B23" s="73" t="inlineStr">
        <is>
          <t>• Phase costs (next sheet) are mapped to calendar years and flow into the NPV cash flows.</t>
        </is>
      </c>
    </row>
    <row r="24" ht="15" customHeight="1" s="55">
      <c r="B24" s="73" t="inlineStr">
        <is>
          <t>• Revenue = Journey users × incremental ARPU + glasses upside. Monetization begins in Year 1 (Phase 2).</t>
        </is>
      </c>
    </row>
    <row r="25" ht="15" customHeight="1" s="55">
      <c r="B25" s="73" t="inlineStr">
        <is>
          <t>• Net cash flow = revenue − (phase build costs + ongoing run-rate). Discounted at the WACC above.</t>
        </is>
      </c>
    </row>
    <row r="26" ht="15" customHeight="1" s="55">
      <c r="B26" s="73" t="inlineStr">
        <is>
          <t>• NPV excludes any terminal value beyond Year 6, making it deliberately conservative.</t>
        </is>
      </c>
    </row>
    <row r="27" ht="15" customHeight="1" s="55">
      <c r="B27" s="73" t="inlineStr">
        <is>
          <t>• All inputs are illustrative. The structure and the per-phase logic are the point, not the precise figures.</t>
        </is>
      </c>
    </row>
  </sheetData>
  <mergeCells count="4">
    <mergeCell ref="B3:I3"/>
    <mergeCell ref="B5:I5"/>
    <mergeCell ref="B2:I2"/>
    <mergeCell ref="B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G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54" min="1" max="1"/>
    <col width="14" customWidth="1" style="54" min="2" max="2"/>
    <col width="22" customWidth="1" style="54" min="3" max="3"/>
    <col width="11" customWidth="1" style="54" min="4" max="4"/>
    <col width="13" customWidth="1" style="54" min="5" max="5"/>
    <col width="40" customWidth="1" style="54" min="6" max="6"/>
    <col width="38" customWidth="1" style="54" min="7" max="7"/>
  </cols>
  <sheetData>
    <row r="2" ht="24" customHeight="1" s="55">
      <c r="B2" s="56" t="inlineStr">
        <is>
          <t>Cost &amp; Benefit by Rollout Phase (illustrative)</t>
        </is>
      </c>
    </row>
    <row r="4" ht="30" customHeight="1" s="55">
      <c r="B4" s="74" t="inlineStr">
        <is>
          <t>Phase</t>
        </is>
      </c>
      <c r="C4" s="74" t="inlineStr">
        <is>
          <t>Name</t>
        </is>
      </c>
      <c r="D4" s="74" t="inlineStr">
        <is>
          <t>Months</t>
        </is>
      </c>
      <c r="E4" s="74" t="inlineStr">
        <is>
          <t>Est. cost ($mm)</t>
        </is>
      </c>
      <c r="F4" s="74" t="inlineStr">
        <is>
          <t>Primary cost drivers (why)</t>
        </is>
      </c>
      <c r="G4" s="74" t="inlineStr">
        <is>
          <t>Primary benefit</t>
        </is>
      </c>
    </row>
    <row r="5" ht="57.75" customHeight="1" s="55">
      <c r="B5" s="75" t="inlineStr">
        <is>
          <t>Phase 0</t>
        </is>
      </c>
      <c r="C5" s="76" t="inlineStr">
        <is>
          <t>Seeded Closed Beta</t>
        </is>
      </c>
      <c r="D5" s="76" t="inlineStr">
        <is>
          <t>0–3</t>
        </is>
      </c>
      <c r="E5" s="77" t="n">
        <v>15</v>
      </c>
      <c r="F5" s="78" t="inlineStr">
        <is>
          <t>Small core eng/design team building the MVP (creation, story-style posts, off-grid container, viewer, in-journey AI). Founding Journeys creator program — incentive is amplification, low cash cost.</t>
        </is>
      </c>
      <c r="G5" s="78" t="inlineStr">
        <is>
          <t>Proves the core loop; sets cultural norms before scale. No revenue yet.</t>
        </is>
      </c>
    </row>
    <row r="6" ht="57.75" customHeight="1" s="55">
      <c r="B6" s="75" t="inlineStr">
        <is>
          <t>Phase 1</t>
        </is>
      </c>
      <c r="C6" s="76" t="inlineStr">
        <is>
          <t>Public Launch (Instagram)</t>
        </is>
      </c>
      <c r="D6" s="76" t="inlineStr">
        <is>
          <t>3–9</t>
        </is>
      </c>
      <c r="E6" s="77" t="n">
        <v>80</v>
      </c>
      <c r="F6" s="78" t="inlineStr">
        <is>
          <t>Scaling eng + infra to serve all IG users; the "Everyone Starts at Day One" hero campaign; Explore/feed/discovery integration; expanded creator waves.</t>
        </is>
      </c>
      <c r="G6" s="78" t="inlineStr">
        <is>
          <t>Validates loop at scale &amp; cold-start mechanics. Still organic only — sets up monetization.</t>
        </is>
      </c>
    </row>
    <row r="7" ht="57.75" customHeight="1" s="55">
      <c r="B7" s="75" t="inlineStr">
        <is>
          <t>Phase 2</t>
        </is>
      </c>
      <c r="C7" s="76" t="inlineStr">
        <is>
          <t>Monetization + WhatsApp</t>
        </is>
      </c>
      <c r="D7" s="76" t="inlineStr">
        <is>
          <t>9–15</t>
        </is>
      </c>
      <c r="E7" s="77" t="n">
        <v>60</v>
      </c>
      <c r="F7" s="78" t="inlineStr">
        <is>
          <t>Sponsored-recommendation ad-tech build; cross-app WhatsApp integration (heavier engineering); continued marketing.</t>
        </is>
      </c>
      <c r="G7" s="78" t="inlineStr">
        <is>
          <t>Revenue begins (sponsored, labeled recs). WhatsApp lifts retention — the multiplier.</t>
        </is>
      </c>
    </row>
    <row r="8" ht="57.75" customHeight="1" s="55">
      <c r="B8" s="75" t="inlineStr">
        <is>
          <t>Phase 3</t>
        </is>
      </c>
      <c r="C8" s="76" t="inlineStr">
        <is>
          <t>Video Journeys in Reels</t>
        </is>
      </c>
      <c r="D8" s="76" t="inlineStr">
        <is>
          <t>15–21</t>
        </is>
      </c>
      <c r="E8" s="77" t="n">
        <v>30</v>
      </c>
      <c r="F8" s="78" t="inlineStr">
        <is>
          <t>Light eng — a badge + "view full journey?" button on existing Reels (format untouched); continued marketing &amp; ongoing run-rate.</t>
        </is>
      </c>
      <c r="G8" s="78" t="inlineStr">
        <is>
          <t>Low-risk acquisition on-ramp from the highest-traffic surface.</t>
        </is>
      </c>
    </row>
    <row r="9" ht="57.75" customHeight="1" s="55">
      <c r="B9" s="75" t="inlineStr">
        <is>
          <t>Phase 4</t>
        </is>
      </c>
      <c r="C9" s="76" t="inlineStr">
        <is>
          <t>AI "Try This Out?" CTA in Reels</t>
        </is>
      </c>
      <c r="D9" s="76" t="inlineStr">
        <is>
          <t>21–27</t>
        </is>
      </c>
      <c r="E9" s="77" t="n">
        <v>70</v>
      </c>
      <c r="F9" s="78" t="inlineStr">
        <is>
          <t>AI integration into the crown-jewel Reels feed; heavy testing &amp; risk-mitigation; guardrail monitoring of Reels core metrics.</t>
        </is>
      </c>
      <c r="G9" s="78" t="inlineStr">
        <is>
          <t>Turns Reels into a proactive acquisition engine — biggest funnel, highest risk.</t>
        </is>
      </c>
    </row>
    <row r="10" ht="57.75" customHeight="1" s="55">
      <c r="B10" s="75" t="inlineStr">
        <is>
          <t>Phase 5</t>
        </is>
      </c>
      <c r="C10" s="76" t="inlineStr">
        <is>
          <t>Facebook Expansion</t>
        </is>
      </c>
      <c r="D10" s="76" t="inlineStr">
        <is>
          <t>27–36</t>
        </is>
      </c>
      <c r="E10" s="77" t="n">
        <v>90</v>
      </c>
      <c r="F10" s="78" t="inlineStr">
        <is>
          <t>Genuine re-design for the Facebook surface (Groups integration, life-events framing) — not a reskin; FB-specific eng + marketing.</t>
        </is>
      </c>
      <c r="G10" s="78" t="inlineStr">
        <is>
          <t>Second native home, esp. for life-documentation journeys; higher-ARPU categories.</t>
        </is>
      </c>
    </row>
    <row r="11" ht="57.75" customHeight="1" s="55">
      <c r="B11" s="75" t="inlineStr">
        <is>
          <t>Phase 6</t>
        </is>
      </c>
      <c r="C11" s="76" t="inlineStr">
        <is>
          <t>Meta Glasses Coaching</t>
        </is>
      </c>
      <c r="D11" s="76" t="inlineStr">
        <is>
          <t>36+</t>
        </is>
      </c>
      <c r="E11" s="77" t="n">
        <v>120</v>
      </c>
      <c r="F11" s="78" t="inlineStr">
        <is>
          <t>Hardware integration &amp; on-device AI coaching R&amp;D; long horizon, highest uncertainty; ongoing multi-year investment.</t>
        </is>
      </c>
      <c r="G11" s="78" t="inlineStr">
        <is>
          <t>Closes the flywheel; the ecosystem moat. Opt-in; upside layer.</t>
        </is>
      </c>
    </row>
    <row r="12" ht="15" customHeight="1" s="55">
      <c r="B12" s="79" t="inlineStr">
        <is>
          <t>TOTAL build</t>
        </is>
      </c>
      <c r="C12" s="80" t="n"/>
      <c r="D12" s="79" t="n"/>
      <c r="E12" s="81">
        <f>SUM(E5:E11)</f>
        <v/>
      </c>
      <c r="F12" s="80" t="n"/>
      <c r="G12" s="80" t="n"/>
    </row>
    <row r="14" ht="27.75" customHeight="1" s="55">
      <c r="B14" s="71" t="inlineStr">
        <is>
          <t>Note: phase costs are one-time build/launch investments. Ongoing run-rate (maintenance, infra at scale, moderation, sustaining marketing) is modeled separately in the NPV sheet and grows with the user base.</t>
        </is>
      </c>
    </row>
  </sheetData>
  <mergeCells count="2">
    <mergeCell ref="B2:G2"/>
    <mergeCell ref="B14:G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I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54" min="1" max="1"/>
    <col width="44" customWidth="1" style="54" min="2" max="2"/>
    <col width="13" customWidth="1" style="54" min="3" max="9"/>
  </cols>
  <sheetData>
    <row r="2" ht="24" customHeight="1" s="55">
      <c r="B2" s="56" t="inlineStr">
        <is>
          <t>NPV Analysis — 7-Year Cash Flow ($mm)</t>
        </is>
      </c>
    </row>
    <row r="4" ht="15" customHeight="1" s="55">
      <c r="B4" s="82" t="inlineStr">
        <is>
          <t>($ millions)</t>
        </is>
      </c>
      <c r="C4" s="83" t="inlineStr">
        <is>
          <t>Year 0</t>
        </is>
      </c>
      <c r="D4" s="83" t="inlineStr">
        <is>
          <t>Year 1</t>
        </is>
      </c>
      <c r="E4" s="83" t="inlineStr">
        <is>
          <t>Year 2</t>
        </is>
      </c>
      <c r="F4" s="83" t="inlineStr">
        <is>
          <t>Year 3</t>
        </is>
      </c>
      <c r="G4" s="83" t="inlineStr">
        <is>
          <t>Year 4</t>
        </is>
      </c>
      <c r="H4" s="83" t="inlineStr">
        <is>
          <t>Year 5</t>
        </is>
      </c>
      <c r="I4" s="83" t="inlineStr">
        <is>
          <t>Year 6</t>
        </is>
      </c>
    </row>
    <row r="6" ht="15" customHeight="1" s="55">
      <c r="B6" s="84" t="inlineStr">
        <is>
          <t>REVENUE</t>
        </is>
      </c>
      <c r="C6" s="85" t="n"/>
      <c r="D6" s="85" t="n"/>
      <c r="E6" s="85" t="n"/>
      <c r="F6" s="85" t="n"/>
      <c r="G6" s="85" t="n"/>
      <c r="H6" s="85" t="n"/>
      <c r="I6" s="85" t="n"/>
    </row>
    <row r="7" ht="15" customHeight="1" s="55">
      <c r="B7" s="61" t="inlineStr">
        <is>
          <t>Journey users (millions)</t>
        </is>
      </c>
      <c r="C7" s="86">
        <f>Assumptions!C16</f>
        <v/>
      </c>
      <c r="D7" s="86">
        <f>Assumptions!D16</f>
        <v/>
      </c>
      <c r="E7" s="86">
        <f>Assumptions!E16</f>
        <v/>
      </c>
      <c r="F7" s="86">
        <f>Assumptions!F16</f>
        <v/>
      </c>
      <c r="G7" s="86">
        <f>Assumptions!G16</f>
        <v/>
      </c>
      <c r="H7" s="86">
        <f>Assumptions!H16</f>
        <v/>
      </c>
      <c r="I7" s="86">
        <f>Assumptions!I16</f>
        <v/>
      </c>
    </row>
    <row r="8" ht="15" customHeight="1" s="55">
      <c r="B8" s="61" t="inlineStr">
        <is>
          <t>Incremental ARPU ($/user/yr)</t>
        </is>
      </c>
      <c r="C8" s="87">
        <f>Assumptions!C18</f>
        <v/>
      </c>
      <c r="D8" s="87">
        <f>Assumptions!D18</f>
        <v/>
      </c>
      <c r="E8" s="87">
        <f>Assumptions!E18</f>
        <v/>
      </c>
      <c r="F8" s="87">
        <f>Assumptions!F18</f>
        <v/>
      </c>
      <c r="G8" s="87">
        <f>Assumptions!G18</f>
        <v/>
      </c>
      <c r="H8" s="87">
        <f>Assumptions!H18</f>
        <v/>
      </c>
      <c r="I8" s="87">
        <f>Assumptions!I18</f>
        <v/>
      </c>
    </row>
    <row r="9" ht="15" customHeight="1" s="55">
      <c r="B9" s="61" t="inlineStr">
        <is>
          <t>Core revenue (users × ARPU)</t>
        </is>
      </c>
      <c r="C9" s="88">
        <f>C7*C8</f>
        <v/>
      </c>
      <c r="D9" s="88">
        <f>D7*D8</f>
        <v/>
      </c>
      <c r="E9" s="88">
        <f>E7*E8</f>
        <v/>
      </c>
      <c r="F9" s="88">
        <f>F7*F8</f>
        <v/>
      </c>
      <c r="G9" s="88">
        <f>G7*G8</f>
        <v/>
      </c>
      <c r="H9" s="88">
        <f>H7*H8</f>
        <v/>
      </c>
      <c r="I9" s="88">
        <f>I7*I8</f>
        <v/>
      </c>
    </row>
    <row r="10" ht="15" customHeight="1" s="55">
      <c r="B10" s="61" t="inlineStr">
        <is>
          <t>Glasses ecosystem revenue (upside)</t>
        </is>
      </c>
      <c r="C10" s="89">
        <f>Assumptions!C20</f>
        <v/>
      </c>
      <c r="D10" s="89">
        <f>Assumptions!D20</f>
        <v/>
      </c>
      <c r="E10" s="89">
        <f>Assumptions!E20</f>
        <v/>
      </c>
      <c r="F10" s="89">
        <f>Assumptions!F20</f>
        <v/>
      </c>
      <c r="G10" s="89">
        <f>Assumptions!G20</f>
        <v/>
      </c>
      <c r="H10" s="89">
        <f>Assumptions!H20</f>
        <v/>
      </c>
      <c r="I10" s="89">
        <f>Assumptions!I20</f>
        <v/>
      </c>
    </row>
    <row r="11" ht="15" customHeight="1" s="55">
      <c r="B11" s="79" t="inlineStr">
        <is>
          <t>Total revenue</t>
        </is>
      </c>
      <c r="C11" s="90">
        <f>C9+C10</f>
        <v/>
      </c>
      <c r="D11" s="90">
        <f>D9+D10</f>
        <v/>
      </c>
      <c r="E11" s="90">
        <f>E9+E10</f>
        <v/>
      </c>
      <c r="F11" s="90">
        <f>F9+F10</f>
        <v/>
      </c>
      <c r="G11" s="90">
        <f>G9+G10</f>
        <v/>
      </c>
      <c r="H11" s="90">
        <f>H9+H10</f>
        <v/>
      </c>
      <c r="I11" s="90">
        <f>I9+I10</f>
        <v/>
      </c>
    </row>
    <row r="13" ht="15" customHeight="1" s="55">
      <c r="B13" s="84" t="inlineStr">
        <is>
          <t>COSTS</t>
        </is>
      </c>
      <c r="C13" s="85" t="n"/>
      <c r="D13" s="85" t="n"/>
      <c r="E13" s="85" t="n"/>
      <c r="F13" s="85" t="n"/>
      <c r="G13" s="85" t="n"/>
      <c r="H13" s="85" t="n"/>
      <c r="I13" s="85" t="n"/>
    </row>
    <row r="14" ht="15" customHeight="1" s="55">
      <c r="B14" s="61" t="inlineStr">
        <is>
          <t>Phase build / launch costs</t>
        </is>
      </c>
      <c r="C14" s="89">
        <f>'Phase Cost-Benefit'!E5+'Phase Cost-Benefit'!E6+0.5*'Phase Cost-Benefit'!E7</f>
        <v/>
      </c>
      <c r="D14" s="89">
        <f>0.5*'Phase Cost-Benefit'!E7+'Phase Cost-Benefit'!E8+0.5*'Phase Cost-Benefit'!E9</f>
        <v/>
      </c>
      <c r="E14" s="89">
        <f>0.5*'Phase Cost-Benefit'!E9+'Phase Cost-Benefit'!E10</f>
        <v/>
      </c>
      <c r="F14" s="89">
        <f>'Phase Cost-Benefit'!E11</f>
        <v/>
      </c>
      <c r="G14" s="91">
        <f>80</f>
        <v/>
      </c>
      <c r="H14" s="91">
        <f>60</f>
        <v/>
      </c>
      <c r="I14" s="91">
        <f>50</f>
        <v/>
      </c>
    </row>
    <row r="15" ht="15" customHeight="1" s="55">
      <c r="B15" s="61" t="inlineStr">
        <is>
          <t>Ongoing run-rate (ops, infra, sustaining mktg)</t>
        </is>
      </c>
      <c r="C15" s="91" t="n">
        <v>20</v>
      </c>
      <c r="D15" s="91" t="n">
        <v>50</v>
      </c>
      <c r="E15" s="91" t="n">
        <v>90</v>
      </c>
      <c r="F15" s="91" t="n">
        <v>120</v>
      </c>
      <c r="G15" s="91" t="n">
        <v>140</v>
      </c>
      <c r="H15" s="91" t="n">
        <v>150</v>
      </c>
      <c r="I15" s="91" t="n">
        <v>160</v>
      </c>
    </row>
    <row r="16" ht="15" customHeight="1" s="55">
      <c r="B16" s="79" t="inlineStr">
        <is>
          <t>Total costs</t>
        </is>
      </c>
      <c r="C16" s="90">
        <f>C14+C15</f>
        <v/>
      </c>
      <c r="D16" s="90">
        <f>D14+D15</f>
        <v/>
      </c>
      <c r="E16" s="90">
        <f>E14+E15</f>
        <v/>
      </c>
      <c r="F16" s="90">
        <f>F14+F15</f>
        <v/>
      </c>
      <c r="G16" s="90">
        <f>G14+G15</f>
        <v/>
      </c>
      <c r="H16" s="90">
        <f>H14+H15</f>
        <v/>
      </c>
      <c r="I16" s="90">
        <f>I14+I15</f>
        <v/>
      </c>
    </row>
    <row r="18" ht="15" customHeight="1" s="55">
      <c r="B18" s="84" t="inlineStr">
        <is>
          <t>NET CASH FLOW</t>
        </is>
      </c>
      <c r="C18" s="92">
        <f>C11-C16</f>
        <v/>
      </c>
      <c r="D18" s="92">
        <f>D11-D16</f>
        <v/>
      </c>
      <c r="E18" s="92">
        <f>E11-E16</f>
        <v/>
      </c>
      <c r="F18" s="92">
        <f>F11-F16</f>
        <v/>
      </c>
      <c r="G18" s="92">
        <f>G11-G16</f>
        <v/>
      </c>
      <c r="H18" s="92">
        <f>H11-H16</f>
        <v/>
      </c>
      <c r="I18" s="92">
        <f>I11-I16</f>
        <v/>
      </c>
    </row>
    <row r="19" ht="15" customHeight="1" s="55">
      <c r="B19" s="61" t="inlineStr">
        <is>
          <t>Discount factor @ WACC</t>
        </is>
      </c>
      <c r="C19" s="93">
        <f>1/(1+Assumptions!$C8)^0</f>
        <v/>
      </c>
      <c r="D19" s="93">
        <f>1/(1+Assumptions!$C8)^1</f>
        <v/>
      </c>
      <c r="E19" s="93">
        <f>1/(1+Assumptions!$C8)^2</f>
        <v/>
      </c>
      <c r="F19" s="93">
        <f>1/(1+Assumptions!$C8)^3</f>
        <v/>
      </c>
      <c r="G19" s="93">
        <f>1/(1+Assumptions!$C8)^4</f>
        <v/>
      </c>
      <c r="H19" s="93">
        <f>1/(1+Assumptions!$C8)^5</f>
        <v/>
      </c>
      <c r="I19" s="93">
        <f>1/(1+Assumptions!$C8)^6</f>
        <v/>
      </c>
    </row>
    <row r="20" ht="15" customHeight="1" s="55">
      <c r="B20" s="65" t="inlineStr">
        <is>
          <t>Discounted cash flow</t>
        </is>
      </c>
      <c r="C20" s="94">
        <f>C18*C19</f>
        <v/>
      </c>
      <c r="D20" s="94">
        <f>D18*D19</f>
        <v/>
      </c>
      <c r="E20" s="94">
        <f>E18*E19</f>
        <v/>
      </c>
      <c r="F20" s="94">
        <f>F18*F19</f>
        <v/>
      </c>
      <c r="G20" s="94">
        <f>G18*G19</f>
        <v/>
      </c>
      <c r="H20" s="94">
        <f>H18*H19</f>
        <v/>
      </c>
      <c r="I20" s="94">
        <f>I18*I19</f>
        <v/>
      </c>
    </row>
    <row r="21" ht="15" customHeight="1" s="55">
      <c r="B21" s="61" t="inlineStr">
        <is>
          <t>Cumulative discounted cash flow</t>
        </is>
      </c>
      <c r="C21" s="88">
        <f>C20</f>
        <v/>
      </c>
      <c r="D21" s="88">
        <f>C21+D20</f>
        <v/>
      </c>
      <c r="E21" s="88">
        <f>D21+E20</f>
        <v/>
      </c>
      <c r="F21" s="88">
        <f>E21+F20</f>
        <v/>
      </c>
      <c r="G21" s="88">
        <f>F21+G20</f>
        <v/>
      </c>
      <c r="H21" s="88">
        <f>G21+H20</f>
        <v/>
      </c>
      <c r="I21" s="88">
        <f>H21+I20</f>
        <v/>
      </c>
    </row>
    <row r="23" ht="15" customHeight="1" s="55">
      <c r="B23" s="95" t="inlineStr">
        <is>
          <t>KEY OUTPUTS</t>
        </is>
      </c>
      <c r="D23" s="96" t="n"/>
      <c r="E23" s="96" t="n"/>
    </row>
    <row r="24" ht="15" customHeight="1" s="55">
      <c r="B24" s="65" t="inlineStr">
        <is>
          <t>NPV (7-yr, excl. terminal value)</t>
        </is>
      </c>
      <c r="D24" s="97">
        <f>SUM(C20:I20)</f>
        <v/>
      </c>
    </row>
    <row r="25" ht="15" customHeight="1" s="55">
      <c r="B25" s="61" t="inlineStr">
        <is>
          <t>Undiscounted cumulative net cash flow</t>
        </is>
      </c>
      <c r="D25" s="88">
        <f>SUM(C18:I18)</f>
        <v/>
      </c>
    </row>
    <row r="26" ht="15" customHeight="1" s="55">
      <c r="B26" s="61" t="inlineStr">
        <is>
          <t>Total revenue (7-yr)</t>
        </is>
      </c>
      <c r="D26" s="88">
        <f>SUM(C11:I11)</f>
        <v/>
      </c>
    </row>
    <row r="27" ht="15" customHeight="1" s="55">
      <c r="B27" s="61" t="inlineStr">
        <is>
          <t>Total investment (7-yr)</t>
        </is>
      </c>
      <c r="D27" s="88">
        <f>SUM(C16:I16)</f>
        <v/>
      </c>
    </row>
    <row r="28" ht="15" customHeight="1" s="55">
      <c r="B28" s="65" t="inlineStr">
        <is>
          <t>IRR (annual)</t>
        </is>
      </c>
      <c r="D28" s="98">
        <f>IRR(C18:I18)</f>
        <v/>
      </c>
    </row>
    <row r="29" ht="15" customHeight="1" s="55">
      <c r="B29" s="61" t="inlineStr">
        <is>
          <t>Benefit/Cost ratio (PV rev ÷ PV cost)</t>
        </is>
      </c>
      <c r="D29" s="99">
        <f>SUMPRODUCT(C11:I11,C19:I19)/SUMPRODUCT(C16:I16,C19:I19)</f>
        <v/>
      </c>
    </row>
    <row r="31" ht="27.75" customHeight="1" s="55">
      <c r="B31" s="71" t="inlineStr">
        <is>
          <t>All figures illustrative/modeled. NPV excludes terminal value beyond Year 6 (conservative). Change blue inputs on Assumptions to run scenarios; the Sensitivity sheet shows NPV across adoption and ARPU cases.</t>
        </is>
      </c>
    </row>
  </sheetData>
  <mergeCells count="3">
    <mergeCell ref="B23:C23"/>
    <mergeCell ref="B2:I2"/>
    <mergeCell ref="B31:I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G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54" min="1" max="1"/>
    <col width="30" customWidth="1" style="54" min="2" max="2"/>
    <col width="15" customWidth="1" style="54" min="3" max="7"/>
  </cols>
  <sheetData>
    <row r="2" ht="24" customHeight="1" s="55">
      <c r="B2" s="56" t="inlineStr">
        <is>
          <t>Sensitivity — NPV drivers ($mm)</t>
        </is>
      </c>
    </row>
    <row r="4" ht="39.75" customHeight="1" s="55">
      <c r="B4" s="71" t="inlineStr">
        <is>
          <t>The base-case NPV is highly sensitive to two modeled drivers: adoption (how many users start Journeys) and mature ARPU (how well it monetizes). The grid below illustrates directional ranges — recompute by changing the blue inputs on the Assumptions sheet. These are static reference points, not live-linked.</t>
        </is>
      </c>
    </row>
    <row r="6" ht="15" customHeight="1" s="55">
      <c r="B6" s="65" t="inlineStr">
        <is>
          <t>Base-case NPV (from NPV Model)</t>
        </is>
      </c>
      <c r="D6" s="100">
        <f>'NPV Model'!D24</f>
        <v/>
      </c>
    </row>
    <row r="8" ht="15" customHeight="1" s="55">
      <c r="B8" s="59" t="inlineStr">
        <is>
          <t>Illustrative scenario NPVs (modeled)</t>
        </is>
      </c>
      <c r="C8" s="60" t="n"/>
      <c r="D8" s="60" t="n"/>
      <c r="E8" s="60" t="n"/>
      <c r="F8" s="60" t="n"/>
      <c r="G8" s="60" t="n"/>
    </row>
    <row r="9" ht="23.25" customHeight="1" s="55">
      <c r="B9" s="101" t="inlineStr">
        <is>
          <t>Scenario</t>
        </is>
      </c>
      <c r="C9" s="101" t="inlineStr">
        <is>
          <t>Peak users (mm)</t>
        </is>
      </c>
      <c r="D9" s="101" t="inlineStr">
        <is>
          <t>Mature ARPU ($)</t>
        </is>
      </c>
      <c r="E9" s="101" t="inlineStr">
        <is>
          <t>Approx. NPV ($mm)</t>
        </is>
      </c>
      <c r="F9" s="101" t="inlineStr">
        <is>
          <t>Read</t>
        </is>
      </c>
    </row>
    <row r="10" ht="30" customHeight="1" s="55">
      <c r="B10" s="76" t="inlineStr">
        <is>
          <t>Bear (slow adoption, weak monetization)</t>
        </is>
      </c>
      <c r="C10" s="102" t="n">
        <v>90</v>
      </c>
      <c r="D10" s="103" t="n">
        <v>10</v>
      </c>
      <c r="E10" s="104" t="n">
        <v>2100</v>
      </c>
      <c r="F10" s="78" t="inlineStr">
        <is>
          <t>Still strongly NPV-positive — low downside.</t>
        </is>
      </c>
    </row>
    <row r="11" ht="30" customHeight="1" s="55">
      <c r="B11" s="76" t="inlineStr">
        <is>
          <t>Base case</t>
        </is>
      </c>
      <c r="C11" s="102" t="n">
        <v>190</v>
      </c>
      <c r="D11" s="103" t="n">
        <v>23</v>
      </c>
      <c r="E11" s="104" t="n">
        <v>7573</v>
      </c>
      <c r="F11" s="78" t="inlineStr">
        <is>
          <t>Central estimate used in the model.</t>
        </is>
      </c>
    </row>
    <row r="12" ht="30" customHeight="1" s="55">
      <c r="B12" s="76" t="inlineStr">
        <is>
          <t>Bull (fast adoption, commerce + glasses land)</t>
        </is>
      </c>
      <c r="C12" s="102" t="n">
        <v>260</v>
      </c>
      <c r="D12" s="103" t="n">
        <v>32</v>
      </c>
      <c r="E12" s="104" t="n">
        <v>14500</v>
      </c>
      <c r="F12" s="78" t="inlineStr">
        <is>
          <t>Ecosystem flywheel fully realized.</t>
        </is>
      </c>
    </row>
    <row r="14" ht="15" customHeight="1" s="55">
      <c r="B14" s="65" t="inlineStr">
        <is>
          <t>Discount-rate sensitivity (base-case cash flows)</t>
        </is>
      </c>
    </row>
    <row r="15" ht="15" customHeight="1" s="55">
      <c r="B15" s="105" t="inlineStr">
        <is>
          <t>WACC</t>
        </is>
      </c>
      <c r="C15" s="105" t="inlineStr">
        <is>
          <t>8%</t>
        </is>
      </c>
      <c r="D15" s="105" t="inlineStr">
        <is>
          <t>10% (base)</t>
        </is>
      </c>
      <c r="E15" s="105" t="inlineStr">
        <is>
          <t>12%</t>
        </is>
      </c>
      <c r="F15" s="105" t="inlineStr">
        <is>
          <t>15%</t>
        </is>
      </c>
    </row>
    <row r="16" ht="15" customHeight="1" s="55">
      <c r="B16" s="61" t="inlineStr">
        <is>
          <t>Approx. NPV ($mm)</t>
        </is>
      </c>
      <c r="C16" s="106" t="n">
        <v>8600</v>
      </c>
      <c r="D16" s="106" t="n">
        <v>7573</v>
      </c>
      <c r="E16" s="106" t="n">
        <v>6700</v>
      </c>
      <c r="F16" s="106" t="n">
        <v>5500</v>
      </c>
    </row>
    <row r="18" ht="43.5" customHeight="1" s="55">
      <c r="B18" s="71" t="inlineStr">
        <is>
          <t>Even in the bear case and at a high discount rate, the project stays clearly NPV-positive — because it rides existing infrastructure and the existing social graph, so incremental cost is modest relative to the revenue an at-scale Instagram feature can unlock. The risk is not negative NPV; it is adoption falling short of the threshold where the loop sustains.</t>
        </is>
      </c>
    </row>
  </sheetData>
  <mergeCells count="4">
    <mergeCell ref="B2:G2"/>
    <mergeCell ref="B4:G4"/>
    <mergeCell ref="B18:G18"/>
    <mergeCell ref="B14:G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2026-06-23T04:08:35Z</dcterms:created>
  <dcterms:modified xsi:type="dcterms:W3CDTF">2026-06-23T05:07:49Z</dcterms:modified>
  <cp:revision>0</cp:revision>
</cp:coreProperties>
</file>